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l2tadmin/Library/CloudStorage/Box-Box/CI_UCLA/2022-CI-Smearing/"/>
    </mc:Choice>
  </mc:AlternateContent>
  <xr:revisionPtr revIDLastSave="0" documentId="8_{A9A52BDE-EAB6-4A41-BED6-BDB2182283AD}" xr6:coauthVersionLast="47" xr6:coauthVersionMax="47" xr10:uidLastSave="{00000000-0000-0000-0000-000000000000}"/>
  <bookViews>
    <workbookView xWindow="1120" yWindow="500" windowWidth="28020" windowHeight="15400" xr2:uid="{00000000-000D-0000-FFFF-FFFF00000000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" i="2" l="1"/>
  <c r="D27" i="2" l="1"/>
  <c r="C27" i="2"/>
  <c r="N34" i="2"/>
  <c r="S27" i="2"/>
  <c r="R27" i="2"/>
  <c r="S28" i="2"/>
  <c r="R28" i="2"/>
  <c r="P28" i="2"/>
  <c r="O28" i="2"/>
  <c r="D28" i="2" s="1"/>
  <c r="N28" i="2"/>
  <c r="M28" i="2"/>
  <c r="L28" i="2"/>
  <c r="S21" i="2"/>
  <c r="S33" i="2" s="1"/>
  <c r="R21" i="2"/>
  <c r="D21" i="2" s="1"/>
  <c r="S22" i="2"/>
  <c r="S34" i="2" s="1"/>
  <c r="R22" i="2"/>
  <c r="R34" i="2" s="1"/>
  <c r="P22" i="2"/>
  <c r="P34" i="2" s="1"/>
  <c r="O22" i="2"/>
  <c r="N22" i="2"/>
  <c r="M22" i="2"/>
  <c r="M34" i="2" s="1"/>
  <c r="L22" i="2"/>
  <c r="C22" i="2" s="1"/>
  <c r="S23" i="2"/>
  <c r="C28" i="2" l="1"/>
  <c r="O34" i="2"/>
  <c r="D22" i="2"/>
  <c r="R33" i="2"/>
  <c r="C21" i="2"/>
  <c r="L34" i="2"/>
  <c r="S29" i="2"/>
  <c r="S35" i="2" s="1"/>
  <c r="S30" i="2"/>
  <c r="S31" i="2"/>
  <c r="S24" i="2"/>
  <c r="S25" i="2"/>
  <c r="S37" i="2" s="1"/>
  <c r="C34" i="2" l="1"/>
  <c r="D34" i="2"/>
  <c r="S36" i="2"/>
  <c r="C33" i="2"/>
  <c r="D33" i="2"/>
  <c r="E29" i="2"/>
  <c r="E24" i="2"/>
  <c r="E30" i="2"/>
  <c r="F23" i="2"/>
  <c r="F29" i="2"/>
  <c r="F24" i="2"/>
  <c r="F30" i="2"/>
  <c r="G23" i="2"/>
  <c r="G29" i="2"/>
  <c r="H23" i="2"/>
  <c r="H29" i="2"/>
  <c r="I23" i="2"/>
  <c r="I29" i="2"/>
  <c r="J23" i="2"/>
  <c r="J29" i="2"/>
  <c r="K23" i="2"/>
  <c r="K29" i="2"/>
  <c r="L23" i="2"/>
  <c r="L29" i="2"/>
  <c r="M23" i="2"/>
  <c r="M29" i="2"/>
  <c r="N23" i="2"/>
  <c r="N29" i="2"/>
  <c r="O23" i="2"/>
  <c r="O29" i="2"/>
  <c r="P23" i="2"/>
  <c r="P29" i="2"/>
  <c r="Q23" i="2"/>
  <c r="Q29" i="2"/>
  <c r="R23" i="2"/>
  <c r="R29" i="2"/>
  <c r="G24" i="2"/>
  <c r="G30" i="2"/>
  <c r="H24" i="2"/>
  <c r="H30" i="2"/>
  <c r="I24" i="2"/>
  <c r="I30" i="2"/>
  <c r="J24" i="2"/>
  <c r="J30" i="2"/>
  <c r="K24" i="2"/>
  <c r="K30" i="2"/>
  <c r="K36" i="2"/>
  <c r="L24" i="2"/>
  <c r="L30" i="2"/>
  <c r="M24" i="2"/>
  <c r="M30" i="2"/>
  <c r="N24" i="2"/>
  <c r="N30" i="2"/>
  <c r="O24" i="2"/>
  <c r="O30" i="2"/>
  <c r="P24" i="2"/>
  <c r="P30" i="2"/>
  <c r="Q24" i="2"/>
  <c r="Q30" i="2"/>
  <c r="R24" i="2"/>
  <c r="R30" i="2"/>
  <c r="E25" i="2"/>
  <c r="E31" i="2"/>
  <c r="F25" i="2"/>
  <c r="F31" i="2"/>
  <c r="G25" i="2"/>
  <c r="G31" i="2"/>
  <c r="H25" i="2"/>
  <c r="H31" i="2"/>
  <c r="H37" i="2"/>
  <c r="I25" i="2"/>
  <c r="I31" i="2"/>
  <c r="J25" i="2"/>
  <c r="J31" i="2"/>
  <c r="K25" i="2"/>
  <c r="K31" i="2"/>
  <c r="L25" i="2"/>
  <c r="L31" i="2"/>
  <c r="L37" i="2" s="1"/>
  <c r="M25" i="2"/>
  <c r="M31" i="2"/>
  <c r="N25" i="2"/>
  <c r="N31" i="2"/>
  <c r="O25" i="2"/>
  <c r="O31" i="2"/>
  <c r="P25" i="2"/>
  <c r="P31" i="2"/>
  <c r="P37" i="2" s="1"/>
  <c r="Q25" i="2"/>
  <c r="Q31" i="2"/>
  <c r="R25" i="2"/>
  <c r="R31" i="2"/>
  <c r="B31" i="2"/>
  <c r="B37" i="2" s="1"/>
  <c r="B30" i="2"/>
  <c r="B36" i="2" s="1"/>
  <c r="B29" i="2"/>
  <c r="B35" i="2" s="1"/>
  <c r="D29" i="2" l="1"/>
  <c r="C29" i="2"/>
  <c r="A29" i="2"/>
  <c r="D23" i="2"/>
  <c r="C23" i="2"/>
  <c r="A23" i="2"/>
  <c r="C25" i="2"/>
  <c r="D25" i="2"/>
  <c r="A25" i="2"/>
  <c r="C31" i="2"/>
  <c r="D31" i="2"/>
  <c r="A31" i="2"/>
  <c r="D24" i="2"/>
  <c r="A24" i="2"/>
  <c r="C24" i="2"/>
  <c r="A30" i="2"/>
  <c r="C30" i="2"/>
  <c r="D30" i="2"/>
  <c r="O35" i="2"/>
  <c r="N36" i="2"/>
  <c r="R36" i="2"/>
  <c r="L35" i="2"/>
  <c r="A40" i="2"/>
  <c r="E37" i="2"/>
  <c r="G36" i="2"/>
  <c r="B40" i="2"/>
  <c r="E35" i="2"/>
  <c r="F35" i="2"/>
  <c r="E36" i="2"/>
  <c r="R35" i="2"/>
  <c r="O36" i="2"/>
  <c r="K37" i="2"/>
  <c r="M35" i="2"/>
  <c r="O37" i="2"/>
  <c r="P35" i="2"/>
  <c r="K35" i="2"/>
  <c r="N37" i="2"/>
  <c r="I37" i="2"/>
  <c r="H36" i="2"/>
  <c r="I35" i="2"/>
  <c r="M37" i="2"/>
  <c r="H35" i="2"/>
  <c r="R37" i="2"/>
  <c r="Q36" i="2"/>
  <c r="P36" i="2"/>
  <c r="G37" i="2"/>
  <c r="N35" i="2"/>
  <c r="J35" i="2"/>
  <c r="F37" i="2"/>
  <c r="G35" i="2"/>
  <c r="J37" i="2"/>
  <c r="J36" i="2"/>
  <c r="Q35" i="2"/>
  <c r="L36" i="2"/>
  <c r="Q37" i="2"/>
  <c r="M36" i="2"/>
  <c r="I36" i="2"/>
  <c r="B41" i="2"/>
  <c r="F36" i="2"/>
  <c r="A41" i="2"/>
  <c r="A42" i="2"/>
  <c r="B42" i="2"/>
  <c r="C41" i="2" l="1"/>
  <c r="C42" i="2"/>
  <c r="C40" i="2"/>
  <c r="D36" i="2"/>
  <c r="A35" i="2"/>
  <c r="C35" i="2"/>
  <c r="D35" i="2"/>
  <c r="C37" i="2"/>
  <c r="D37" i="2"/>
  <c r="A37" i="2"/>
  <c r="C36" i="2"/>
  <c r="A36" i="2"/>
</calcChain>
</file>

<file path=xl/sharedStrings.xml><?xml version="1.0" encoding="utf-8"?>
<sst xmlns="http://schemas.openxmlformats.org/spreadsheetml/2006/main" count="219" uniqueCount="59">
  <si>
    <t>S1</t>
  </si>
  <si>
    <t>S2</t>
  </si>
  <si>
    <t>S4</t>
  </si>
  <si>
    <t>S6</t>
  </si>
  <si>
    <t>S7</t>
  </si>
  <si>
    <t>S16</t>
  </si>
  <si>
    <t>NH-02-KX</t>
  </si>
  <si>
    <t>NH-01-KX</t>
  </si>
  <si>
    <t>NH-04-KX</t>
  </si>
  <si>
    <t>NH06-KX</t>
  </si>
  <si>
    <t>NH-01-SW</t>
  </si>
  <si>
    <t>NH-09-KX</t>
  </si>
  <si>
    <t>NH-15-SW</t>
  </si>
  <si>
    <t>NH-15-KX</t>
  </si>
  <si>
    <t>NH-19-KX</t>
  </si>
  <si>
    <t>NH-25-SW</t>
  </si>
  <si>
    <t>NH-20-KX</t>
  </si>
  <si>
    <t>NH-28-SW</t>
  </si>
  <si>
    <t>NH-21-KX</t>
  </si>
  <si>
    <t>NH-22-KX</t>
  </si>
  <si>
    <t>NH-24-KX</t>
  </si>
  <si>
    <t>NH-25-KX</t>
  </si>
  <si>
    <t>Diotic</t>
  </si>
  <si>
    <t>run1</t>
  </si>
  <si>
    <t>run2</t>
  </si>
  <si>
    <t>run3</t>
  </si>
  <si>
    <t>Run2</t>
  </si>
  <si>
    <t>Run3</t>
  </si>
  <si>
    <t>NV-SV</t>
  </si>
  <si>
    <t>NV-NV</t>
  </si>
  <si>
    <t>SAM-Smearing(10)</t>
  </si>
  <si>
    <t>SV-SV</t>
  </si>
  <si>
    <t>EI12-12 co-located</t>
  </si>
  <si>
    <t>EI48-12 co-located</t>
  </si>
  <si>
    <t>Dichotic</t>
  </si>
  <si>
    <t>EI12-12 spatial</t>
  </si>
  <si>
    <t>EI48-12 spatial</t>
  </si>
  <si>
    <t>Diotic Masker</t>
  </si>
  <si>
    <t>MEAN</t>
  </si>
  <si>
    <t>STD</t>
  </si>
  <si>
    <t>S3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</si>
  <si>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</si>
  <si>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</si>
  <si>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</si>
  <si>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</si>
  <si>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</si>
  <si>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</si>
  <si>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</si>
  <si>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</si>
  <si>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</si>
  <si>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EI12-12</t>
  </si>
  <si>
    <t>EI48-12</t>
  </si>
  <si>
    <t>Dichotic Masker</t>
  </si>
  <si>
    <t>Spatial Advantage</t>
  </si>
  <si>
    <t>Spatial</t>
  </si>
  <si>
    <t>Co-located</t>
  </si>
  <si>
    <t>SA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</si>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</sst>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Fill="1"/>
    <xf numFmtId="0" fontId="0" fillId="0" borderId="1" xfId="0" applyBorder="1"/>
    <xf numFmtId="2" fontId="0" fillId="4" borderId="1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7" xfId="0" applyFont="1" applyBorder="1"/>
    <xf numFmtId="0" fontId="0" fillId="0" borderId="8" xfId="0" applyBorder="1"/>
    <xf numFmtId="0" fontId="0" fillId="4" borderId="8" xfId="0" applyFill="1" applyBorder="1"/>
    <xf numFmtId="0" fontId="0" fillId="4" borderId="9" xfId="0" applyFill="1" applyBorder="1"/>
    <xf numFmtId="0" fontId="1" fillId="0" borderId="7" xfId="0" applyFont="1" applyBorder="1" applyAlignment="1">
      <alignment horizontal="left"/>
    </xf>
    <xf numFmtId="2" fontId="0" fillId="4" borderId="8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2" fontId="0" fillId="4" borderId="18" xfId="0" applyNumberFormat="1" applyFill="1" applyBorder="1" applyAlignment="1">
      <alignment horizontal="center"/>
    </xf>
    <xf numFmtId="0" fontId="1" fillId="0" borderId="19" xfId="0" applyFont="1" applyBorder="1"/>
    <xf numFmtId="0" fontId="0" fillId="0" borderId="20" xfId="0" applyBorder="1"/>
    <xf numFmtId="0" fontId="1" fillId="0" borderId="19" xfId="0" applyFont="1" applyBorder="1" applyAlignment="1">
      <alignment horizontal="left"/>
    </xf>
    <xf numFmtId="2" fontId="0" fillId="3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0" borderId="0" xfId="0" applyFill="1" applyBorder="1"/>
    <xf numFmtId="16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12" xfId="0" applyFont="1" applyFill="1" applyBorder="1"/>
    <xf numFmtId="0" fontId="1" fillId="0" borderId="0" xfId="0" applyFont="1" applyFill="1" applyBorder="1"/>
    <xf numFmtId="2" fontId="0" fillId="0" borderId="14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17" xfId="0" applyNumberFormat="1" applyFill="1" applyBorder="1" applyAlignment="1">
      <alignment horizontal="center"/>
    </xf>
    <xf numFmtId="0" fontId="1" fillId="0" borderId="11" xfId="0" applyFont="1" applyFill="1" applyBorder="1"/>
    <xf numFmtId="0" fontId="1" fillId="0" borderId="14" xfId="0" applyFont="1" applyFill="1" applyBorder="1"/>
    <xf numFmtId="2" fontId="0" fillId="0" borderId="14" xfId="0" applyNumberFormat="1" applyFill="1" applyBorder="1"/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/>
    <xf numFmtId="0" fontId="0" fillId="0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7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1" width="17.5" customWidth="1"/>
    <col min="2" max="2" width="20.83203125" customWidth="1"/>
    <col min="3" max="20" width="6.6640625" customWidth="1"/>
    <col min="21" max="21" width="7.6640625" customWidth="1"/>
  </cols>
  <sheetData>
    <row r="1" spans="1:50" x14ac:dyDescent="0.2">
      <c r="A1" s="2"/>
      <c r="C1" s="3" t="s">
        <v>0</v>
      </c>
      <c r="D1" s="3"/>
      <c r="E1" s="3"/>
      <c r="F1" t="s">
        <v>1</v>
      </c>
      <c r="I1" s="3" t="s">
        <v>40</v>
      </c>
      <c r="J1" s="3"/>
      <c r="K1" s="3"/>
      <c r="L1" t="s">
        <v>2</v>
      </c>
      <c r="O1" s="3" t="s">
        <v>41</v>
      </c>
      <c r="P1" s="3"/>
      <c r="Q1" s="3"/>
      <c r="R1" t="s">
        <v>3</v>
      </c>
      <c r="U1" s="41" t="s">
        <v>4</v>
      </c>
      <c r="V1" s="41"/>
      <c r="W1" s="41"/>
      <c r="X1" s="42" t="s">
        <v>42</v>
      </c>
      <c r="Y1" s="43"/>
      <c r="Z1" s="42"/>
      <c r="AA1" s="41" t="s">
        <v>43</v>
      </c>
      <c r="AB1" s="41"/>
      <c r="AC1" s="41"/>
      <c r="AD1" s="42" t="s">
        <v>44</v>
      </c>
      <c r="AE1" s="43"/>
      <c r="AF1" s="42"/>
      <c r="AG1" s="41" t="s">
        <v>45</v>
      </c>
      <c r="AH1" s="41"/>
      <c r="AI1" s="41"/>
      <c r="AJ1" s="42" t="s">
        <v>46</v>
      </c>
      <c r="AK1" s="43"/>
      <c r="AL1" s="42"/>
      <c r="AM1" s="41" t="s">
        <v>47</v>
      </c>
      <c r="AN1" s="41"/>
      <c r="AO1" s="41"/>
      <c r="AP1" s="42" t="s">
        <v>48</v>
      </c>
      <c r="AQ1" s="42"/>
      <c r="AR1" s="42"/>
      <c r="AS1" s="41" t="s">
        <v>49</v>
      </c>
      <c r="AT1" s="41"/>
      <c r="AU1" s="41"/>
      <c r="AV1" s="7" t="s">
        <v>5</v>
      </c>
      <c r="AW1" s="7"/>
      <c r="AX1" s="7"/>
    </row>
    <row r="2" spans="1:50" x14ac:dyDescent="0.2">
      <c r="C2" s="3" t="s">
        <v>6</v>
      </c>
      <c r="D2" s="3"/>
      <c r="E2" s="3"/>
      <c r="F2" t="s">
        <v>7</v>
      </c>
      <c r="I2" s="3" t="s">
        <v>8</v>
      </c>
      <c r="J2" s="3"/>
      <c r="K2" s="3"/>
      <c r="L2" t="s">
        <v>9</v>
      </c>
      <c r="O2" s="3" t="s">
        <v>10</v>
      </c>
      <c r="P2" s="3"/>
      <c r="Q2" s="3"/>
      <c r="R2" t="s">
        <v>11</v>
      </c>
      <c r="U2" s="41" t="s">
        <v>13</v>
      </c>
      <c r="V2" s="41"/>
      <c r="W2" s="41"/>
      <c r="X2" s="42" t="s">
        <v>14</v>
      </c>
      <c r="Y2" s="42"/>
      <c r="Z2" s="42"/>
      <c r="AA2" s="41" t="s">
        <v>15</v>
      </c>
      <c r="AB2" s="41"/>
      <c r="AC2" s="41"/>
      <c r="AD2" s="42" t="s">
        <v>16</v>
      </c>
      <c r="AE2" s="42"/>
      <c r="AF2" s="42"/>
      <c r="AG2" s="41" t="s">
        <v>17</v>
      </c>
      <c r="AH2" s="41"/>
      <c r="AI2" s="41"/>
      <c r="AJ2" s="42" t="s">
        <v>18</v>
      </c>
      <c r="AK2" s="42"/>
      <c r="AL2" s="42"/>
      <c r="AM2" s="41" t="s">
        <v>19</v>
      </c>
      <c r="AN2" s="41"/>
      <c r="AO2" s="41"/>
      <c r="AP2" s="42" t="s">
        <v>20</v>
      </c>
      <c r="AQ2" s="42"/>
      <c r="AR2" s="42"/>
      <c r="AS2" s="41" t="s">
        <v>21</v>
      </c>
      <c r="AT2" s="41"/>
      <c r="AU2" s="41"/>
      <c r="AV2" s="7" t="s">
        <v>12</v>
      </c>
      <c r="AW2" s="7"/>
      <c r="AX2" s="7"/>
    </row>
    <row r="3" spans="1:50" x14ac:dyDescent="0.2">
      <c r="C3" s="3" t="s">
        <v>57</v>
      </c>
      <c r="D3" s="3">
        <v>23</v>
      </c>
      <c r="E3" s="3"/>
      <c r="F3" t="s">
        <v>58</v>
      </c>
      <c r="G3">
        <v>24</v>
      </c>
      <c r="I3" s="3" t="s">
        <v>58</v>
      </c>
      <c r="J3" s="3">
        <v>25</v>
      </c>
      <c r="K3" s="3"/>
      <c r="L3" t="s">
        <v>58</v>
      </c>
      <c r="M3">
        <v>24</v>
      </c>
      <c r="O3" s="3" t="s">
        <v>57</v>
      </c>
      <c r="P3" s="3">
        <v>25</v>
      </c>
      <c r="Q3" s="3"/>
      <c r="R3" t="s">
        <v>58</v>
      </c>
      <c r="S3">
        <v>25</v>
      </c>
      <c r="U3" s="41" t="s">
        <v>57</v>
      </c>
      <c r="V3" s="41">
        <v>24</v>
      </c>
      <c r="W3" s="41"/>
      <c r="X3" s="42" t="s">
        <v>57</v>
      </c>
      <c r="Y3" s="42">
        <v>26</v>
      </c>
      <c r="Z3" s="42"/>
      <c r="AA3" s="41" t="s">
        <v>58</v>
      </c>
      <c r="AB3" s="41">
        <v>26</v>
      </c>
      <c r="AC3" s="41"/>
      <c r="AD3" s="42" t="s">
        <v>58</v>
      </c>
      <c r="AE3" s="42">
        <v>30</v>
      </c>
      <c r="AF3" s="42"/>
      <c r="AG3" s="41" t="s">
        <v>57</v>
      </c>
      <c r="AH3" s="41">
        <v>26</v>
      </c>
      <c r="AI3" s="41"/>
      <c r="AJ3" s="42" t="s">
        <v>57</v>
      </c>
      <c r="AK3" s="42">
        <v>31</v>
      </c>
      <c r="AL3" s="42"/>
      <c r="AM3" s="41"/>
      <c r="AN3" s="41"/>
      <c r="AO3" s="41"/>
      <c r="AP3" s="42"/>
      <c r="AQ3" s="42"/>
      <c r="AR3" s="42"/>
      <c r="AS3" s="41"/>
      <c r="AT3" s="41"/>
      <c r="AU3" s="41"/>
      <c r="AV3" s="7"/>
      <c r="AW3" s="7"/>
      <c r="AX3" s="7"/>
    </row>
    <row r="4" spans="1:50" x14ac:dyDescent="0.2">
      <c r="A4" s="4" t="s">
        <v>22</v>
      </c>
      <c r="C4" s="3" t="s">
        <v>23</v>
      </c>
      <c r="D4" s="3" t="s">
        <v>24</v>
      </c>
      <c r="E4" s="3" t="s">
        <v>25</v>
      </c>
      <c r="F4" t="s">
        <v>23</v>
      </c>
      <c r="G4" t="s">
        <v>24</v>
      </c>
      <c r="H4" t="s">
        <v>25</v>
      </c>
      <c r="I4" s="3" t="s">
        <v>23</v>
      </c>
      <c r="J4" s="3" t="s">
        <v>24</v>
      </c>
      <c r="K4" s="3" t="s">
        <v>25</v>
      </c>
      <c r="L4" s="7" t="s">
        <v>23</v>
      </c>
      <c r="M4" s="7" t="s">
        <v>24</v>
      </c>
      <c r="N4" s="7" t="s">
        <v>25</v>
      </c>
      <c r="O4" s="3" t="s">
        <v>23</v>
      </c>
      <c r="P4" s="3" t="s">
        <v>24</v>
      </c>
      <c r="Q4" s="3" t="s">
        <v>25</v>
      </c>
      <c r="R4" t="s">
        <v>23</v>
      </c>
      <c r="S4" t="s">
        <v>24</v>
      </c>
      <c r="T4" t="s">
        <v>25</v>
      </c>
      <c r="U4" s="41" t="s">
        <v>23</v>
      </c>
      <c r="V4" s="41" t="s">
        <v>24</v>
      </c>
      <c r="W4" s="41" t="s">
        <v>25</v>
      </c>
      <c r="X4" s="42" t="s">
        <v>23</v>
      </c>
      <c r="Y4" s="42" t="s">
        <v>24</v>
      </c>
      <c r="Z4" s="42" t="s">
        <v>25</v>
      </c>
      <c r="AA4" s="41" t="s">
        <v>23</v>
      </c>
      <c r="AB4" s="41" t="s">
        <v>24</v>
      </c>
      <c r="AC4" s="41" t="s">
        <v>25</v>
      </c>
      <c r="AD4" s="42" t="s">
        <v>23</v>
      </c>
      <c r="AE4" s="42" t="s">
        <v>24</v>
      </c>
      <c r="AF4" s="42" t="s">
        <v>25</v>
      </c>
      <c r="AG4" s="41" t="s">
        <v>23</v>
      </c>
      <c r="AH4" s="41" t="s">
        <v>24</v>
      </c>
      <c r="AI4" s="41" t="s">
        <v>25</v>
      </c>
      <c r="AJ4" s="42" t="s">
        <v>23</v>
      </c>
      <c r="AK4" s="42" t="s">
        <v>24</v>
      </c>
      <c r="AL4" s="42" t="s">
        <v>25</v>
      </c>
      <c r="AM4" s="41" t="s">
        <v>23</v>
      </c>
      <c r="AN4" s="41" t="s">
        <v>24</v>
      </c>
      <c r="AO4" s="41" t="s">
        <v>25</v>
      </c>
      <c r="AP4" s="42" t="s">
        <v>23</v>
      </c>
      <c r="AQ4" s="42" t="s">
        <v>26</v>
      </c>
      <c r="AR4" s="42" t="s">
        <v>27</v>
      </c>
      <c r="AS4" s="41" t="s">
        <v>23</v>
      </c>
      <c r="AT4" s="41" t="s">
        <v>24</v>
      </c>
      <c r="AU4" s="41" t="s">
        <v>25</v>
      </c>
      <c r="AV4" s="7" t="s">
        <v>23</v>
      </c>
      <c r="AW4" s="7" t="s">
        <v>24</v>
      </c>
      <c r="AX4" s="7" t="s">
        <v>25</v>
      </c>
    </row>
    <row r="5" spans="1:50" x14ac:dyDescent="0.2">
      <c r="A5" s="4" t="s">
        <v>28</v>
      </c>
      <c r="C5" s="38"/>
      <c r="D5" s="38"/>
      <c r="E5" s="38"/>
      <c r="F5" s="5"/>
      <c r="G5" s="5"/>
      <c r="H5" s="5"/>
      <c r="I5" s="38"/>
      <c r="J5" s="38"/>
      <c r="K5" s="38"/>
      <c r="L5" s="39"/>
      <c r="M5" s="39"/>
      <c r="N5" s="39"/>
      <c r="O5" s="38"/>
      <c r="P5" s="38"/>
      <c r="Q5" s="38"/>
      <c r="R5" s="5"/>
      <c r="S5" s="5"/>
      <c r="T5" s="5"/>
      <c r="U5" s="40"/>
      <c r="V5" s="40"/>
      <c r="W5" s="40"/>
      <c r="X5" s="44"/>
      <c r="Y5" s="44"/>
      <c r="Z5" s="44"/>
      <c r="AA5" s="40"/>
      <c r="AB5" s="40"/>
      <c r="AC5" s="40"/>
      <c r="AD5" s="44"/>
      <c r="AE5" s="44"/>
      <c r="AF5" s="44"/>
      <c r="AG5" s="40"/>
      <c r="AH5" s="40"/>
      <c r="AI5" s="40"/>
      <c r="AJ5" s="44"/>
      <c r="AK5" s="44"/>
      <c r="AL5" s="44"/>
      <c r="AM5" s="40"/>
      <c r="AN5" s="40"/>
      <c r="AO5" s="40"/>
      <c r="AP5" s="44">
        <v>6.3</v>
      </c>
      <c r="AQ5" s="44">
        <v>3</v>
      </c>
      <c r="AR5" s="44">
        <v>4.7</v>
      </c>
      <c r="AS5" s="40">
        <v>9.6999999999999993</v>
      </c>
      <c r="AT5" s="40">
        <v>6.7</v>
      </c>
      <c r="AU5" s="40"/>
      <c r="AV5" s="47"/>
      <c r="AW5" s="47"/>
      <c r="AX5" s="47"/>
    </row>
    <row r="6" spans="1:50" x14ac:dyDescent="0.2">
      <c r="A6" s="4" t="s">
        <v>29</v>
      </c>
      <c r="B6" s="1" t="s">
        <v>30</v>
      </c>
      <c r="C6" s="38"/>
      <c r="D6" s="38"/>
      <c r="E6" s="38"/>
      <c r="F6" s="5"/>
      <c r="G6" s="5"/>
      <c r="H6" s="5"/>
      <c r="I6" s="38"/>
      <c r="J6" s="38"/>
      <c r="K6" s="38"/>
      <c r="L6" s="39"/>
      <c r="M6" s="39"/>
      <c r="N6" s="39"/>
      <c r="O6" s="38"/>
      <c r="P6" s="38"/>
      <c r="Q6" s="38"/>
      <c r="R6" s="5"/>
      <c r="S6" s="5"/>
      <c r="T6" s="5"/>
      <c r="U6" s="40"/>
      <c r="V6" s="40"/>
      <c r="W6" s="40"/>
      <c r="X6" s="44">
        <v>3</v>
      </c>
      <c r="Y6" s="44">
        <v>3.3</v>
      </c>
      <c r="Z6" s="44"/>
      <c r="AA6" s="40">
        <v>4.3</v>
      </c>
      <c r="AB6" s="40">
        <v>5</v>
      </c>
      <c r="AC6" s="40"/>
      <c r="AD6" s="44">
        <v>3.3</v>
      </c>
      <c r="AE6" s="44">
        <v>6.3</v>
      </c>
      <c r="AF6" s="44"/>
      <c r="AG6" s="40">
        <v>5.7</v>
      </c>
      <c r="AH6" s="40">
        <v>0</v>
      </c>
      <c r="AI6" s="40">
        <v>1.7</v>
      </c>
      <c r="AJ6" s="44">
        <v>3.3</v>
      </c>
      <c r="AK6" s="44">
        <v>3.7</v>
      </c>
      <c r="AL6" s="44"/>
      <c r="AM6" s="40"/>
      <c r="AN6" s="40"/>
      <c r="AO6" s="40"/>
      <c r="AP6" s="44">
        <v>4.3</v>
      </c>
      <c r="AQ6" s="44">
        <v>1</v>
      </c>
      <c r="AR6" s="44">
        <v>2</v>
      </c>
      <c r="AS6" s="40">
        <v>7</v>
      </c>
      <c r="AT6" s="40">
        <v>9.6999999999999993</v>
      </c>
      <c r="AU6" s="40"/>
      <c r="AV6" s="47"/>
      <c r="AW6" s="47"/>
      <c r="AX6" s="47"/>
    </row>
    <row r="7" spans="1:50" x14ac:dyDescent="0.2">
      <c r="A7" s="16" t="s">
        <v>31</v>
      </c>
      <c r="B7" s="1" t="s">
        <v>30</v>
      </c>
      <c r="C7" s="40">
        <v>4.3</v>
      </c>
      <c r="D7" s="40">
        <v>1.7</v>
      </c>
      <c r="E7" s="40"/>
      <c r="F7" s="5">
        <v>2</v>
      </c>
      <c r="G7" s="5">
        <v>-1</v>
      </c>
      <c r="H7" s="5"/>
      <c r="I7" s="38">
        <v>4.3</v>
      </c>
      <c r="J7" s="38">
        <v>5</v>
      </c>
      <c r="K7" s="38"/>
      <c r="L7" s="5">
        <v>5.6</v>
      </c>
      <c r="M7" s="5">
        <v>7.3</v>
      </c>
      <c r="N7" s="5"/>
      <c r="O7" s="38">
        <v>0.7</v>
      </c>
      <c r="P7" s="38">
        <v>1</v>
      </c>
      <c r="Q7" s="38"/>
      <c r="R7" s="5">
        <v>7.7</v>
      </c>
      <c r="S7" s="5">
        <v>6.7</v>
      </c>
      <c r="T7" s="5"/>
      <c r="U7" s="40">
        <v>4.3</v>
      </c>
      <c r="V7" s="40">
        <v>3.7</v>
      </c>
      <c r="W7" s="40"/>
      <c r="X7" s="44">
        <v>4</v>
      </c>
      <c r="Y7" s="44">
        <v>2.2999999999999998</v>
      </c>
      <c r="Z7" s="44"/>
      <c r="AA7" s="40">
        <v>4.7</v>
      </c>
      <c r="AB7" s="40">
        <v>1.7</v>
      </c>
      <c r="AC7" s="40"/>
      <c r="AD7" s="44">
        <v>4</v>
      </c>
      <c r="AE7" s="44">
        <v>2.2999999999999998</v>
      </c>
      <c r="AF7" s="44"/>
      <c r="AG7" s="40">
        <v>2</v>
      </c>
      <c r="AH7" s="40">
        <v>5</v>
      </c>
      <c r="AI7" s="40"/>
      <c r="AJ7" s="44">
        <v>0</v>
      </c>
      <c r="AK7" s="44">
        <v>0.3</v>
      </c>
      <c r="AL7" s="44"/>
      <c r="AM7" s="40">
        <v>4.7</v>
      </c>
      <c r="AN7" s="40">
        <v>3.7</v>
      </c>
      <c r="AO7" s="40"/>
      <c r="AP7" s="44">
        <v>3</v>
      </c>
      <c r="AQ7" s="44">
        <v>3</v>
      </c>
      <c r="AR7" s="44"/>
      <c r="AS7" s="40">
        <v>5.3</v>
      </c>
      <c r="AT7" s="40">
        <v>5.7</v>
      </c>
      <c r="AU7" s="40"/>
      <c r="AV7" s="39">
        <v>6.3</v>
      </c>
      <c r="AW7" s="39">
        <v>2.2999999999999998</v>
      </c>
      <c r="AX7" s="39"/>
    </row>
    <row r="8" spans="1:50" x14ac:dyDescent="0.2">
      <c r="A8" s="16" t="s">
        <v>32</v>
      </c>
      <c r="B8" s="1" t="s">
        <v>30</v>
      </c>
      <c r="C8" s="40">
        <v>31.3</v>
      </c>
      <c r="D8" s="40">
        <v>15.3</v>
      </c>
      <c r="E8" s="40">
        <v>9.3000000000000007</v>
      </c>
      <c r="F8" s="5">
        <v>23.2</v>
      </c>
      <c r="G8" s="5">
        <v>13.5</v>
      </c>
      <c r="H8" s="5">
        <v>6</v>
      </c>
      <c r="I8" s="38">
        <v>21.7</v>
      </c>
      <c r="J8" s="38">
        <v>14.7</v>
      </c>
      <c r="K8" s="38">
        <v>15.3</v>
      </c>
      <c r="L8" s="5">
        <v>13.2</v>
      </c>
      <c r="M8" s="5">
        <v>7.3</v>
      </c>
      <c r="N8" s="5">
        <v>15.5</v>
      </c>
      <c r="O8" s="38">
        <v>7.7</v>
      </c>
      <c r="P8" s="38">
        <v>11</v>
      </c>
      <c r="Q8" s="38">
        <v>10</v>
      </c>
      <c r="R8" s="5">
        <v>16</v>
      </c>
      <c r="S8" s="5">
        <v>23.7</v>
      </c>
      <c r="T8" s="5">
        <v>17.3</v>
      </c>
      <c r="U8" s="40">
        <v>16</v>
      </c>
      <c r="V8" s="40">
        <v>21</v>
      </c>
      <c r="W8" s="40">
        <v>8</v>
      </c>
      <c r="X8" s="44">
        <v>13.3</v>
      </c>
      <c r="Y8" s="44">
        <v>12.3</v>
      </c>
      <c r="Z8" s="44"/>
      <c r="AA8" s="40">
        <v>15.3</v>
      </c>
      <c r="AB8" s="40">
        <v>7.5</v>
      </c>
      <c r="AC8" s="40">
        <v>4.3</v>
      </c>
      <c r="AD8" s="44">
        <v>18</v>
      </c>
      <c r="AE8" s="44">
        <v>16.7</v>
      </c>
      <c r="AF8" s="44"/>
      <c r="AG8" s="40">
        <v>19</v>
      </c>
      <c r="AH8" s="40">
        <v>20.7</v>
      </c>
      <c r="AI8" s="40"/>
      <c r="AJ8" s="44">
        <v>26.3</v>
      </c>
      <c r="AK8" s="44">
        <v>8.3000000000000007</v>
      </c>
      <c r="AL8" s="44">
        <v>10</v>
      </c>
      <c r="AM8" s="40">
        <v>18.3</v>
      </c>
      <c r="AN8" s="40">
        <v>16.7</v>
      </c>
      <c r="AO8" s="40"/>
      <c r="AP8" s="44">
        <v>21.6</v>
      </c>
      <c r="AQ8" s="44">
        <v>24.3</v>
      </c>
      <c r="AR8" s="44"/>
      <c r="AS8" s="40">
        <v>31.7</v>
      </c>
      <c r="AT8" s="40">
        <v>33.4</v>
      </c>
      <c r="AU8" s="40"/>
      <c r="AV8" s="39">
        <v>17</v>
      </c>
      <c r="AW8" s="39"/>
      <c r="AX8" s="39"/>
    </row>
    <row r="9" spans="1:50" x14ac:dyDescent="0.2">
      <c r="A9" s="16" t="s">
        <v>33</v>
      </c>
      <c r="B9" s="1" t="s">
        <v>30</v>
      </c>
      <c r="C9" s="40">
        <v>3.3</v>
      </c>
      <c r="D9" s="40">
        <v>3</v>
      </c>
      <c r="E9" s="40"/>
      <c r="F9" s="5">
        <v>-0.7</v>
      </c>
      <c r="G9" s="5">
        <v>1.5</v>
      </c>
      <c r="H9" s="5"/>
      <c r="I9" s="38">
        <v>4.7</v>
      </c>
      <c r="J9" s="38">
        <v>5.3</v>
      </c>
      <c r="K9" s="38"/>
      <c r="L9" s="5">
        <v>5.5</v>
      </c>
      <c r="M9" s="5">
        <v>8.6</v>
      </c>
      <c r="N9" s="5">
        <v>1.6</v>
      </c>
      <c r="O9" s="38">
        <v>3.7</v>
      </c>
      <c r="P9" s="38">
        <v>6.7</v>
      </c>
      <c r="Q9" s="38"/>
      <c r="R9" s="5">
        <v>4.3</v>
      </c>
      <c r="S9" s="5">
        <v>7.3</v>
      </c>
      <c r="T9" s="5"/>
      <c r="U9" s="40">
        <v>3.3</v>
      </c>
      <c r="V9" s="40">
        <v>6.3</v>
      </c>
      <c r="W9" s="40"/>
      <c r="X9" s="44">
        <v>3</v>
      </c>
      <c r="Y9" s="44">
        <v>6</v>
      </c>
      <c r="Z9" s="44"/>
      <c r="AA9" s="40">
        <v>3</v>
      </c>
      <c r="AB9" s="40">
        <v>6.7</v>
      </c>
      <c r="AC9" s="40">
        <v>2</v>
      </c>
      <c r="AD9" s="44">
        <v>10.7</v>
      </c>
      <c r="AE9" s="44">
        <v>11</v>
      </c>
      <c r="AF9" s="44"/>
      <c r="AG9" s="40">
        <v>3.3</v>
      </c>
      <c r="AH9" s="40">
        <v>3.7</v>
      </c>
      <c r="AI9" s="40"/>
      <c r="AJ9" s="44">
        <v>2.7</v>
      </c>
      <c r="AK9" s="44">
        <v>-0.7</v>
      </c>
      <c r="AL9" s="44"/>
      <c r="AM9" s="40">
        <v>9</v>
      </c>
      <c r="AN9" s="40">
        <v>5</v>
      </c>
      <c r="AO9" s="40"/>
      <c r="AP9" s="44">
        <v>6.7</v>
      </c>
      <c r="AQ9" s="44">
        <v>4</v>
      </c>
      <c r="AR9" s="44"/>
      <c r="AS9" s="40">
        <v>7</v>
      </c>
      <c r="AT9" s="40">
        <v>8.6999999999999993</v>
      </c>
      <c r="AU9" s="40"/>
      <c r="AV9" s="39">
        <v>3</v>
      </c>
      <c r="AW9" s="39"/>
      <c r="AX9" s="39"/>
    </row>
    <row r="10" spans="1:50" x14ac:dyDescent="0.2">
      <c r="C10" s="38"/>
      <c r="D10" s="38"/>
      <c r="E10" s="38"/>
      <c r="F10" s="5"/>
      <c r="G10" s="5"/>
      <c r="H10" s="5"/>
      <c r="I10" s="38"/>
      <c r="J10" s="38"/>
      <c r="K10" s="38"/>
      <c r="L10" s="5"/>
      <c r="M10" s="5"/>
      <c r="N10" s="5"/>
      <c r="O10" s="38"/>
      <c r="P10" s="38"/>
      <c r="Q10" s="38"/>
      <c r="R10" s="5"/>
      <c r="S10" s="5"/>
      <c r="T10" s="5"/>
      <c r="U10" s="40"/>
      <c r="V10" s="40"/>
      <c r="W10" s="40"/>
      <c r="X10" s="44"/>
      <c r="Y10" s="44"/>
      <c r="Z10" s="44"/>
      <c r="AA10" s="40"/>
      <c r="AB10" s="40"/>
      <c r="AC10" s="40"/>
      <c r="AD10" s="44"/>
      <c r="AE10" s="44"/>
      <c r="AF10" s="44"/>
      <c r="AG10" s="40"/>
      <c r="AH10" s="40"/>
      <c r="AI10" s="40"/>
      <c r="AJ10" s="44"/>
      <c r="AK10" s="44"/>
      <c r="AL10" s="44"/>
      <c r="AM10" s="40"/>
      <c r="AN10" s="40"/>
      <c r="AO10" s="40"/>
      <c r="AP10" s="44"/>
      <c r="AQ10" s="44"/>
      <c r="AR10" s="44"/>
      <c r="AS10" s="40"/>
      <c r="AT10" s="40"/>
      <c r="AU10" s="40"/>
      <c r="AV10" s="47"/>
      <c r="AW10" s="47"/>
      <c r="AX10" s="47"/>
    </row>
    <row r="11" spans="1:50" x14ac:dyDescent="0.2">
      <c r="A11" s="4" t="s">
        <v>34</v>
      </c>
      <c r="C11" s="38" t="s">
        <v>23</v>
      </c>
      <c r="D11" s="38" t="s">
        <v>24</v>
      </c>
      <c r="E11" s="38" t="s">
        <v>25</v>
      </c>
      <c r="F11" s="5" t="s">
        <v>23</v>
      </c>
      <c r="G11" s="5" t="s">
        <v>24</v>
      </c>
      <c r="H11" s="5" t="s">
        <v>25</v>
      </c>
      <c r="I11" s="38" t="s">
        <v>23</v>
      </c>
      <c r="J11" s="38" t="s">
        <v>24</v>
      </c>
      <c r="K11" s="38" t="s">
        <v>25</v>
      </c>
      <c r="L11" s="39" t="s">
        <v>23</v>
      </c>
      <c r="M11" s="39" t="s">
        <v>24</v>
      </c>
      <c r="N11" s="39" t="s">
        <v>25</v>
      </c>
      <c r="O11" s="38" t="s">
        <v>23</v>
      </c>
      <c r="P11" s="38" t="s">
        <v>24</v>
      </c>
      <c r="Q11" s="38" t="s">
        <v>25</v>
      </c>
      <c r="R11" s="5" t="s">
        <v>23</v>
      </c>
      <c r="S11" s="5" t="s">
        <v>24</v>
      </c>
      <c r="T11" s="5" t="s">
        <v>25</v>
      </c>
      <c r="U11" s="40" t="s">
        <v>23</v>
      </c>
      <c r="V11" s="40" t="s">
        <v>24</v>
      </c>
      <c r="W11" s="40" t="s">
        <v>25</v>
      </c>
      <c r="X11" s="44" t="s">
        <v>23</v>
      </c>
      <c r="Y11" s="44" t="s">
        <v>24</v>
      </c>
      <c r="Z11" s="44" t="s">
        <v>25</v>
      </c>
      <c r="AA11" s="40" t="s">
        <v>23</v>
      </c>
      <c r="AB11" s="40" t="s">
        <v>24</v>
      </c>
      <c r="AC11" s="40" t="s">
        <v>25</v>
      </c>
      <c r="AD11" s="44" t="s">
        <v>23</v>
      </c>
      <c r="AE11" s="44" t="s">
        <v>24</v>
      </c>
      <c r="AF11" s="44" t="s">
        <v>25</v>
      </c>
      <c r="AG11" s="40" t="s">
        <v>23</v>
      </c>
      <c r="AH11" s="40" t="s">
        <v>24</v>
      </c>
      <c r="AI11" s="40" t="s">
        <v>25</v>
      </c>
      <c r="AJ11" s="44" t="s">
        <v>23</v>
      </c>
      <c r="AK11" s="44" t="s">
        <v>24</v>
      </c>
      <c r="AL11" s="44" t="s">
        <v>25</v>
      </c>
      <c r="AM11" s="40" t="s">
        <v>23</v>
      </c>
      <c r="AN11" s="40" t="s">
        <v>24</v>
      </c>
      <c r="AO11" s="40" t="s">
        <v>25</v>
      </c>
      <c r="AP11" s="44"/>
      <c r="AQ11" s="44"/>
      <c r="AR11" s="44"/>
      <c r="AS11" s="40" t="s">
        <v>23</v>
      </c>
      <c r="AT11" s="40" t="s">
        <v>24</v>
      </c>
      <c r="AU11" s="40" t="s">
        <v>25</v>
      </c>
      <c r="AV11" s="47" t="s">
        <v>23</v>
      </c>
      <c r="AW11" s="47" t="s">
        <v>24</v>
      </c>
      <c r="AX11" s="47" t="s">
        <v>25</v>
      </c>
    </row>
    <row r="12" spans="1:50" x14ac:dyDescent="0.2">
      <c r="A12" s="4" t="s">
        <v>28</v>
      </c>
      <c r="C12" s="38"/>
      <c r="D12" s="38"/>
      <c r="E12" s="38"/>
      <c r="F12" s="5"/>
      <c r="G12" s="5"/>
      <c r="H12" s="5"/>
      <c r="I12" s="38"/>
      <c r="J12" s="38"/>
      <c r="K12" s="38"/>
      <c r="L12" s="39"/>
      <c r="M12" s="39"/>
      <c r="N12" s="39"/>
      <c r="O12" s="38"/>
      <c r="P12" s="38"/>
      <c r="Q12" s="38"/>
      <c r="R12" s="5"/>
      <c r="S12" s="5"/>
      <c r="T12" s="5"/>
      <c r="U12" s="40"/>
      <c r="V12" s="40"/>
      <c r="W12" s="40"/>
      <c r="X12" s="44"/>
      <c r="Y12" s="44"/>
      <c r="Z12" s="44"/>
      <c r="AA12" s="40"/>
      <c r="AB12" s="40"/>
      <c r="AC12" s="40"/>
      <c r="AD12" s="44"/>
      <c r="AE12" s="44"/>
      <c r="AF12" s="44"/>
      <c r="AG12" s="40"/>
      <c r="AH12" s="40"/>
      <c r="AI12" s="40"/>
      <c r="AJ12" s="44"/>
      <c r="AK12" s="44"/>
      <c r="AL12" s="44"/>
      <c r="AM12" s="40"/>
      <c r="AN12" s="40"/>
      <c r="AO12" s="40"/>
      <c r="AP12" s="44">
        <v>-4.3</v>
      </c>
      <c r="AQ12" s="44">
        <v>-2.2999999999999998</v>
      </c>
      <c r="AR12" s="44"/>
      <c r="AS12" s="40">
        <v>2.2999999999999998</v>
      </c>
      <c r="AT12" s="40">
        <v>0.3</v>
      </c>
      <c r="AU12" s="40"/>
      <c r="AV12" s="47"/>
      <c r="AW12" s="47"/>
      <c r="AX12" s="47"/>
    </row>
    <row r="13" spans="1:50" x14ac:dyDescent="0.2">
      <c r="A13" s="4" t="s">
        <v>29</v>
      </c>
      <c r="B13" s="1" t="s">
        <v>30</v>
      </c>
      <c r="C13" s="38"/>
      <c r="D13" s="38"/>
      <c r="E13" s="38"/>
      <c r="F13" s="5"/>
      <c r="G13" s="5"/>
      <c r="H13" s="5"/>
      <c r="I13" s="38"/>
      <c r="J13" s="38"/>
      <c r="K13" s="38"/>
      <c r="L13" s="39"/>
      <c r="M13" s="39"/>
      <c r="N13" s="39"/>
      <c r="O13" s="38"/>
      <c r="P13" s="38"/>
      <c r="Q13" s="38"/>
      <c r="R13" s="5"/>
      <c r="S13" s="5"/>
      <c r="T13" s="5"/>
      <c r="U13" s="40"/>
      <c r="V13" s="40"/>
      <c r="W13" s="40"/>
      <c r="X13" s="44">
        <v>-0.3</v>
      </c>
      <c r="Y13" s="44">
        <v>-0.3</v>
      </c>
      <c r="Z13" s="44"/>
      <c r="AA13" s="40">
        <v>0.3</v>
      </c>
      <c r="AB13" s="40">
        <v>-0.7</v>
      </c>
      <c r="AC13" s="40"/>
      <c r="AD13" s="44">
        <v>1</v>
      </c>
      <c r="AE13" s="44">
        <v>-5</v>
      </c>
      <c r="AF13" s="44">
        <v>-2.7</v>
      </c>
      <c r="AG13" s="40">
        <v>-2.2999999999999998</v>
      </c>
      <c r="AH13" s="40">
        <v>-2</v>
      </c>
      <c r="AI13" s="40"/>
      <c r="AJ13" s="44">
        <v>-4.3</v>
      </c>
      <c r="AK13" s="44">
        <v>-10</v>
      </c>
      <c r="AL13" s="44">
        <v>-3.7</v>
      </c>
      <c r="AM13" s="40"/>
      <c r="AN13" s="40"/>
      <c r="AO13" s="40"/>
      <c r="AP13" s="44">
        <v>-3.3</v>
      </c>
      <c r="AQ13" s="44">
        <v>-4.3</v>
      </c>
      <c r="AR13" s="44"/>
      <c r="AS13" s="40">
        <v>8</v>
      </c>
      <c r="AT13" s="40">
        <v>0.3</v>
      </c>
      <c r="AU13" s="40">
        <v>5.3</v>
      </c>
      <c r="AV13" s="47"/>
      <c r="AW13" s="47"/>
      <c r="AX13" s="47"/>
    </row>
    <row r="14" spans="1:50" x14ac:dyDescent="0.2">
      <c r="A14" s="16" t="s">
        <v>31</v>
      </c>
      <c r="B14" s="1" t="s">
        <v>30</v>
      </c>
      <c r="C14" s="40">
        <v>-4</v>
      </c>
      <c r="D14" s="40">
        <v>-6.3</v>
      </c>
      <c r="E14" s="40"/>
      <c r="F14" s="5">
        <v>-2.7</v>
      </c>
      <c r="G14" s="5">
        <v>-5.3</v>
      </c>
      <c r="H14" s="5"/>
      <c r="I14" s="38">
        <v>-4</v>
      </c>
      <c r="J14" s="38">
        <v>-5.3</v>
      </c>
      <c r="K14" s="38"/>
      <c r="L14" s="5">
        <v>1.2</v>
      </c>
      <c r="M14" s="5">
        <v>-0.2</v>
      </c>
      <c r="N14" s="5"/>
      <c r="O14" s="38">
        <v>-9</v>
      </c>
      <c r="P14" s="38">
        <v>-13</v>
      </c>
      <c r="Q14" s="38">
        <v>-11.7</v>
      </c>
      <c r="R14" s="5">
        <v>-1.7</v>
      </c>
      <c r="S14" s="5">
        <v>-4.7</v>
      </c>
      <c r="T14" s="5"/>
      <c r="U14" s="40">
        <v>-0.7</v>
      </c>
      <c r="V14" s="40">
        <v>-4.3</v>
      </c>
      <c r="W14" s="40">
        <v>-2.2999999999999998</v>
      </c>
      <c r="X14" s="44">
        <v>-1</v>
      </c>
      <c r="Y14" s="44">
        <v>-3</v>
      </c>
      <c r="Z14" s="44"/>
      <c r="AA14" s="40">
        <v>0</v>
      </c>
      <c r="AB14" s="40">
        <v>0.7</v>
      </c>
      <c r="AC14" s="40"/>
      <c r="AD14" s="44">
        <v>3.8</v>
      </c>
      <c r="AE14" s="44">
        <v>0</v>
      </c>
      <c r="AF14" s="44">
        <v>-0.3</v>
      </c>
      <c r="AG14" s="40">
        <v>-3</v>
      </c>
      <c r="AH14" s="40">
        <v>-4</v>
      </c>
      <c r="AI14" s="40"/>
      <c r="AJ14" s="44">
        <v>-6.3</v>
      </c>
      <c r="AK14" s="44">
        <v>-4.7</v>
      </c>
      <c r="AL14" s="44"/>
      <c r="AM14" s="40">
        <v>2</v>
      </c>
      <c r="AN14" s="40">
        <v>-0.2</v>
      </c>
      <c r="AO14" s="40"/>
      <c r="AP14" s="44">
        <v>-4</v>
      </c>
      <c r="AQ14" s="44">
        <v>-0.7</v>
      </c>
      <c r="AR14" s="44">
        <v>-6.7</v>
      </c>
      <c r="AS14" s="40">
        <v>0.3</v>
      </c>
      <c r="AT14" s="40">
        <v>-0.7</v>
      </c>
      <c r="AU14" s="40"/>
      <c r="AV14" s="39">
        <v>-6.4</v>
      </c>
      <c r="AW14" s="39"/>
      <c r="AX14" s="39"/>
    </row>
    <row r="15" spans="1:50" x14ac:dyDescent="0.2">
      <c r="A15" s="16" t="s">
        <v>35</v>
      </c>
      <c r="B15" s="1" t="s">
        <v>30</v>
      </c>
      <c r="C15" s="40">
        <v>23</v>
      </c>
      <c r="D15" s="40">
        <v>10</v>
      </c>
      <c r="E15" s="40">
        <v>19.7</v>
      </c>
      <c r="F15" s="5">
        <v>11</v>
      </c>
      <c r="G15" s="5">
        <v>1</v>
      </c>
      <c r="H15" s="5">
        <v>5.3</v>
      </c>
      <c r="I15" s="38">
        <v>10</v>
      </c>
      <c r="J15" s="38">
        <v>10.3</v>
      </c>
      <c r="K15" s="38"/>
      <c r="L15" s="5">
        <v>1.1000000000000001</v>
      </c>
      <c r="M15" s="5">
        <v>4.3</v>
      </c>
      <c r="N15" s="5">
        <v>1.4</v>
      </c>
      <c r="O15" s="38">
        <v>0</v>
      </c>
      <c r="P15" s="38">
        <v>2.2999999999999998</v>
      </c>
      <c r="Q15" s="38"/>
      <c r="R15" s="5">
        <v>24.3</v>
      </c>
      <c r="S15" s="5">
        <v>11.3</v>
      </c>
      <c r="T15" s="5">
        <v>18.7</v>
      </c>
      <c r="U15" s="40">
        <v>7.6</v>
      </c>
      <c r="V15" s="40">
        <v>1</v>
      </c>
      <c r="W15" s="40"/>
      <c r="X15" s="44">
        <v>8.3000000000000007</v>
      </c>
      <c r="Y15" s="44">
        <v>6</v>
      </c>
      <c r="Z15" s="44"/>
      <c r="AA15" s="40">
        <v>7</v>
      </c>
      <c r="AB15" s="40">
        <v>5.3</v>
      </c>
      <c r="AC15" s="40"/>
      <c r="AD15" s="44">
        <v>14</v>
      </c>
      <c r="AE15" s="44">
        <v>13</v>
      </c>
      <c r="AF15" s="44"/>
      <c r="AG15" s="40">
        <v>7.7</v>
      </c>
      <c r="AH15" s="40">
        <v>6.2</v>
      </c>
      <c r="AI15" s="40"/>
      <c r="AJ15" s="44">
        <v>8.3000000000000007</v>
      </c>
      <c r="AK15" s="44">
        <v>6</v>
      </c>
      <c r="AL15" s="44"/>
      <c r="AM15" s="40">
        <v>4.7</v>
      </c>
      <c r="AN15" s="40">
        <v>8</v>
      </c>
      <c r="AO15" s="40">
        <v>6.7</v>
      </c>
      <c r="AP15" s="44">
        <v>10.3</v>
      </c>
      <c r="AQ15" s="44">
        <v>7.3</v>
      </c>
      <c r="AR15" s="44"/>
      <c r="AS15" s="40">
        <v>31.2</v>
      </c>
      <c r="AT15" s="40">
        <v>30.3</v>
      </c>
      <c r="AU15" s="40"/>
      <c r="AV15" s="39">
        <v>11.7</v>
      </c>
      <c r="AW15" s="39"/>
      <c r="AX15" s="39"/>
    </row>
    <row r="16" spans="1:50" x14ac:dyDescent="0.2">
      <c r="A16" s="16" t="s">
        <v>36</v>
      </c>
      <c r="B16" s="1" t="s">
        <v>30</v>
      </c>
      <c r="C16" s="40">
        <v>4</v>
      </c>
      <c r="D16" s="40">
        <v>2</v>
      </c>
      <c r="E16" s="40"/>
      <c r="F16" s="5">
        <v>-1.3</v>
      </c>
      <c r="G16" s="5">
        <v>-4.7</v>
      </c>
      <c r="H16" s="5">
        <v>-2.2999999999999998</v>
      </c>
      <c r="I16" s="38">
        <v>3.3</v>
      </c>
      <c r="J16" s="38">
        <v>0.7</v>
      </c>
      <c r="K16" s="38"/>
      <c r="L16" s="5">
        <v>-0.7</v>
      </c>
      <c r="M16" s="5">
        <v>-4.0999999999999996</v>
      </c>
      <c r="N16" s="5"/>
      <c r="O16" s="38">
        <v>-3.7</v>
      </c>
      <c r="P16" s="38">
        <v>-7.7</v>
      </c>
      <c r="Q16" s="38">
        <v>-1</v>
      </c>
      <c r="R16" s="5">
        <v>3</v>
      </c>
      <c r="S16" s="5">
        <v>5</v>
      </c>
      <c r="T16" s="5"/>
      <c r="U16" s="40">
        <v>1.3</v>
      </c>
      <c r="V16" s="40">
        <v>-8</v>
      </c>
      <c r="W16" s="40">
        <v>-2.2999999999999998</v>
      </c>
      <c r="X16" s="44">
        <v>3.3</v>
      </c>
      <c r="Y16" s="44">
        <v>5</v>
      </c>
      <c r="Z16" s="44"/>
      <c r="AA16" s="40">
        <v>4.7</v>
      </c>
      <c r="AB16" s="40">
        <v>8.6999999999999993</v>
      </c>
      <c r="AC16" s="40">
        <v>6.3</v>
      </c>
      <c r="AD16" s="44">
        <v>3.3</v>
      </c>
      <c r="AE16" s="44">
        <v>2.2999999999999998</v>
      </c>
      <c r="AF16" s="44"/>
      <c r="AG16" s="40">
        <v>2.2999999999999998</v>
      </c>
      <c r="AH16" s="40">
        <v>1</v>
      </c>
      <c r="AI16" s="40"/>
      <c r="AJ16" s="44">
        <v>-2.2999999999999998</v>
      </c>
      <c r="AK16" s="44">
        <v>-3.7</v>
      </c>
      <c r="AL16" s="44"/>
      <c r="AM16" s="40">
        <v>1.3</v>
      </c>
      <c r="AN16" s="40">
        <v>0</v>
      </c>
      <c r="AO16" s="40"/>
      <c r="AP16" s="44">
        <v>2</v>
      </c>
      <c r="AQ16" s="44">
        <v>3.7</v>
      </c>
      <c r="AR16" s="44"/>
      <c r="AS16" s="40">
        <v>3</v>
      </c>
      <c r="AT16" s="40">
        <v>7.7</v>
      </c>
      <c r="AU16" s="40">
        <v>5</v>
      </c>
      <c r="AV16" s="39">
        <v>-4</v>
      </c>
      <c r="AW16" s="39"/>
      <c r="AX16" s="39"/>
    </row>
    <row r="17" spans="1:47" x14ac:dyDescent="0.2"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</row>
    <row r="19" spans="1:47" ht="16" thickBot="1" x14ac:dyDescent="0.25"/>
    <row r="20" spans="1:47" x14ac:dyDescent="0.2">
      <c r="A20" s="20" t="s">
        <v>37</v>
      </c>
      <c r="B20" s="21"/>
      <c r="C20" s="22" t="s">
        <v>38</v>
      </c>
      <c r="D20" s="23" t="s">
        <v>39</v>
      </c>
      <c r="E20" s="32" t="s">
        <v>0</v>
      </c>
      <c r="F20" s="33" t="s">
        <v>1</v>
      </c>
      <c r="G20" s="33" t="s">
        <v>40</v>
      </c>
      <c r="H20" s="33" t="s">
        <v>2</v>
      </c>
      <c r="I20" s="33" t="s">
        <v>41</v>
      </c>
      <c r="J20" s="33" t="s">
        <v>3</v>
      </c>
      <c r="K20" s="33" t="s">
        <v>4</v>
      </c>
      <c r="L20" s="33" t="s">
        <v>42</v>
      </c>
      <c r="M20" s="33" t="s">
        <v>43</v>
      </c>
      <c r="N20" s="33" t="s">
        <v>44</v>
      </c>
      <c r="O20" s="33" t="s">
        <v>45</v>
      </c>
      <c r="P20" s="33" t="s">
        <v>46</v>
      </c>
      <c r="Q20" s="33" t="s">
        <v>47</v>
      </c>
      <c r="R20" s="33" t="s">
        <v>48</v>
      </c>
      <c r="S20" s="53" t="s">
        <v>49</v>
      </c>
      <c r="T20" s="48"/>
      <c r="U20" s="49"/>
      <c r="V20" s="29"/>
      <c r="W20" s="29"/>
    </row>
    <row r="21" spans="1:47" x14ac:dyDescent="0.2">
      <c r="A21" s="35"/>
      <c r="B21" s="36" t="s">
        <v>28</v>
      </c>
      <c r="C21" s="9">
        <f>AVERAGE(E21:AM21)</f>
        <v>6.4333333333333336</v>
      </c>
      <c r="D21" s="10">
        <f>STDEV(E21:AM21)</f>
        <v>2.4984439601924682</v>
      </c>
      <c r="E21" s="45"/>
      <c r="F21" s="46"/>
      <c r="G21" s="46"/>
      <c r="H21" s="46"/>
      <c r="I21" s="46"/>
      <c r="J21" s="46"/>
      <c r="K21" s="46"/>
      <c r="L21" s="28"/>
      <c r="M21" s="28"/>
      <c r="N21" s="28"/>
      <c r="O21" s="28"/>
      <c r="P21" s="28"/>
      <c r="Q21" s="28"/>
      <c r="R21" s="28">
        <f>AVERAGE(AP5:AR5)</f>
        <v>4.666666666666667</v>
      </c>
      <c r="S21" s="44">
        <f>AVERAGE(AS5:AU5)</f>
        <v>8.1999999999999993</v>
      </c>
      <c r="T21" s="54"/>
      <c r="U21" s="49"/>
      <c r="V21" s="29"/>
      <c r="W21" s="29"/>
    </row>
    <row r="22" spans="1:47" x14ac:dyDescent="0.2">
      <c r="A22" s="35"/>
      <c r="B22" s="36" t="s">
        <v>29</v>
      </c>
      <c r="C22" s="9">
        <f>AVERAGE(E22:AM22)</f>
        <v>4.1928571428571431</v>
      </c>
      <c r="D22" s="10">
        <f>STDEV(E22:AM22)</f>
        <v>2.0616618867917538</v>
      </c>
      <c r="E22" s="27"/>
      <c r="F22" s="28"/>
      <c r="G22" s="28"/>
      <c r="H22" s="28"/>
      <c r="I22" s="28"/>
      <c r="J22" s="28"/>
      <c r="K22" s="28"/>
      <c r="L22" s="28">
        <f>AVERAGE(X6:Z6)</f>
        <v>3.15</v>
      </c>
      <c r="M22" s="28">
        <f>AVERAGE(AA6:AC6)</f>
        <v>4.6500000000000004</v>
      </c>
      <c r="N22" s="28">
        <f>AVERAGE(AD6:AF6)</f>
        <v>4.8</v>
      </c>
      <c r="O22" s="28">
        <f>AVERAGE(AG6:AI6)</f>
        <v>2.4666666666666668</v>
      </c>
      <c r="P22" s="28">
        <f>AVERAGE(AJ6:AL6)</f>
        <v>3.5</v>
      </c>
      <c r="Q22" s="28"/>
      <c r="R22" s="28">
        <f>AVERAGE(AP6:AR6)</f>
        <v>2.4333333333333331</v>
      </c>
      <c r="S22" s="44">
        <f>AVERAGE(AS6:AU6)</f>
        <v>8.35</v>
      </c>
      <c r="T22" s="54"/>
      <c r="U22" s="49"/>
      <c r="V22" s="29"/>
      <c r="W22" s="29"/>
    </row>
    <row r="23" spans="1:47" x14ac:dyDescent="0.2">
      <c r="A23" s="14">
        <f>COUNTA(E23:AM23)</f>
        <v>15</v>
      </c>
      <c r="B23" s="8" t="s">
        <v>31</v>
      </c>
      <c r="C23" s="9">
        <f>AVERAGE(E23:AM23)</f>
        <v>3.5</v>
      </c>
      <c r="D23" s="10">
        <f>STDEV(E23:AM23)</f>
        <v>2.009530862095501</v>
      </c>
      <c r="E23" s="27">
        <f>AVERAGE(C7:E7)</f>
        <v>3</v>
      </c>
      <c r="F23" s="28">
        <f>AVERAGE(F7:H7)</f>
        <v>0.5</v>
      </c>
      <c r="G23" s="28">
        <f>AVERAGE(I7:K7)</f>
        <v>4.6500000000000004</v>
      </c>
      <c r="H23" s="28">
        <f>AVERAGE(L7:N7)</f>
        <v>6.4499999999999993</v>
      </c>
      <c r="I23" s="28">
        <f>AVERAGE(O7:Q7)</f>
        <v>0.85</v>
      </c>
      <c r="J23" s="28">
        <f>AVERAGE(R7:T7)</f>
        <v>7.2</v>
      </c>
      <c r="K23" s="28">
        <f>AVERAGE(U7:W7)</f>
        <v>4</v>
      </c>
      <c r="L23" s="28">
        <f>AVERAGE(X7:Z7)</f>
        <v>3.15</v>
      </c>
      <c r="M23" s="28">
        <f>AVERAGE(AA7:AC7)</f>
        <v>3.2</v>
      </c>
      <c r="N23" s="28">
        <f>AVERAGE(AD7:AF7)</f>
        <v>3.15</v>
      </c>
      <c r="O23" s="28">
        <f>AVERAGE(AG7:AI7)</f>
        <v>3.5</v>
      </c>
      <c r="P23" s="28">
        <f>AVERAGE(AJ7:AL7)</f>
        <v>0.15</v>
      </c>
      <c r="Q23" s="28">
        <f>AVERAGE(AM7:AO7)</f>
        <v>4.2</v>
      </c>
      <c r="R23" s="28">
        <f>AVERAGE(AP7:AR7)</f>
        <v>3</v>
      </c>
      <c r="S23" s="44">
        <f>AVERAGE(AS7:AU7)</f>
        <v>5.5</v>
      </c>
      <c r="T23" s="55"/>
      <c r="U23" s="51"/>
      <c r="V23" s="29"/>
      <c r="W23" s="29"/>
    </row>
    <row r="24" spans="1:47" x14ac:dyDescent="0.2">
      <c r="A24" s="14">
        <f t="shared" ref="A24:A25" si="0">COUNTA(E24:AM24)</f>
        <v>15</v>
      </c>
      <c r="B24" s="8" t="s">
        <v>50</v>
      </c>
      <c r="C24" s="9">
        <f t="shared" ref="C24:C25" si="1">AVERAGE(E24:AM24)</f>
        <v>16.837777777777777</v>
      </c>
      <c r="D24" s="10">
        <f t="shared" ref="D24:D25" si="2">STDEV(E24:AM24)</f>
        <v>5.7915903272346991</v>
      </c>
      <c r="E24" s="27">
        <f>AVERAGE(C8:E8)</f>
        <v>18.633333333333336</v>
      </c>
      <c r="F24" s="28">
        <f>AVERAGE(F8:H8)</f>
        <v>14.233333333333334</v>
      </c>
      <c r="G24" s="28">
        <f>AVERAGE(I8:K8)</f>
        <v>17.233333333333334</v>
      </c>
      <c r="H24" s="28">
        <f>AVERAGE(L8:N8)</f>
        <v>12</v>
      </c>
      <c r="I24" s="28">
        <f>AVERAGE(O8:Q8)</f>
        <v>9.5666666666666664</v>
      </c>
      <c r="J24" s="28">
        <f>AVERAGE(R8:T8)</f>
        <v>19</v>
      </c>
      <c r="K24" s="28">
        <f>AVERAGE(U8:W8)</f>
        <v>15</v>
      </c>
      <c r="L24" s="28">
        <f>AVERAGE(X8:Z8)</f>
        <v>12.8</v>
      </c>
      <c r="M24" s="28">
        <f>AVERAGE(AA8:AC8)</f>
        <v>9.0333333333333332</v>
      </c>
      <c r="N24" s="28">
        <f>AVERAGE(AD8:AF8)</f>
        <v>17.350000000000001</v>
      </c>
      <c r="O24" s="28">
        <f>AVERAGE(AG8:AI8)</f>
        <v>19.850000000000001</v>
      </c>
      <c r="P24" s="28">
        <f>AVERAGE(AJ8:AL8)</f>
        <v>14.866666666666667</v>
      </c>
      <c r="Q24" s="28">
        <f>AVERAGE(AM8:AO8)</f>
        <v>17.5</v>
      </c>
      <c r="R24" s="28">
        <f>AVERAGE(AP8:AR8)</f>
        <v>22.950000000000003</v>
      </c>
      <c r="S24" s="44">
        <f>AVERAGE(AS8:AU8)</f>
        <v>32.549999999999997</v>
      </c>
      <c r="T24" s="55"/>
      <c r="U24" s="51"/>
      <c r="V24" s="29"/>
      <c r="W24" s="29"/>
    </row>
    <row r="25" spans="1:47" ht="16" thickBot="1" x14ac:dyDescent="0.25">
      <c r="A25" s="14">
        <f t="shared" si="0"/>
        <v>15</v>
      </c>
      <c r="B25" s="13" t="s">
        <v>51</v>
      </c>
      <c r="C25" s="9">
        <f t="shared" si="1"/>
        <v>4.902222222222222</v>
      </c>
      <c r="D25" s="10">
        <f t="shared" si="2"/>
        <v>2.55498164708305</v>
      </c>
      <c r="E25" s="30">
        <f>AVERAGE(C9:E9)</f>
        <v>3.15</v>
      </c>
      <c r="F25" s="31">
        <f>AVERAGE(F9:H9)</f>
        <v>0.4</v>
      </c>
      <c r="G25" s="31">
        <f>AVERAGE(I9:K9)</f>
        <v>5</v>
      </c>
      <c r="H25" s="31">
        <f>AVERAGE(L9:N9)</f>
        <v>5.2333333333333334</v>
      </c>
      <c r="I25" s="31">
        <f>AVERAGE(O9:Q9)</f>
        <v>5.2</v>
      </c>
      <c r="J25" s="31">
        <f>AVERAGE(R9:T9)</f>
        <v>5.8</v>
      </c>
      <c r="K25" s="31">
        <f>AVERAGE(U9:W9)</f>
        <v>4.8</v>
      </c>
      <c r="L25" s="31">
        <f>AVERAGE(X9:Z9)</f>
        <v>4.5</v>
      </c>
      <c r="M25" s="31">
        <f>AVERAGE(AA9:AC9)</f>
        <v>3.9</v>
      </c>
      <c r="N25" s="31">
        <f>AVERAGE(AD9:AF9)</f>
        <v>10.85</v>
      </c>
      <c r="O25" s="31">
        <f>AVERAGE(AG9:AI9)</f>
        <v>3.5</v>
      </c>
      <c r="P25" s="31">
        <f>AVERAGE(AJ9:AL9)</f>
        <v>1</v>
      </c>
      <c r="Q25" s="31">
        <f>AVERAGE(AM9:AO9)</f>
        <v>7</v>
      </c>
      <c r="R25" s="31">
        <f>AVERAGE(AP9:AR9)</f>
        <v>5.35</v>
      </c>
      <c r="S25" s="56">
        <f>AVERAGE(AS9:AU9)</f>
        <v>7.85</v>
      </c>
      <c r="T25" s="57"/>
      <c r="U25" s="51"/>
      <c r="V25" s="29"/>
      <c r="W25" s="29"/>
    </row>
    <row r="26" spans="1:47" x14ac:dyDescent="0.2">
      <c r="A26" s="24" t="s">
        <v>52</v>
      </c>
      <c r="B26" s="21"/>
      <c r="C26" s="25"/>
      <c r="D26" s="26"/>
      <c r="E26" s="32" t="s">
        <v>0</v>
      </c>
      <c r="F26" s="33" t="s">
        <v>1</v>
      </c>
      <c r="G26" s="33" t="s">
        <v>40</v>
      </c>
      <c r="H26" s="33" t="s">
        <v>2</v>
      </c>
      <c r="I26" s="33" t="s">
        <v>41</v>
      </c>
      <c r="J26" s="33" t="s">
        <v>3</v>
      </c>
      <c r="K26" s="33" t="s">
        <v>4</v>
      </c>
      <c r="L26" s="33" t="s">
        <v>42</v>
      </c>
      <c r="M26" s="33" t="s">
        <v>43</v>
      </c>
      <c r="N26" s="33" t="s">
        <v>44</v>
      </c>
      <c r="O26" s="33" t="s">
        <v>45</v>
      </c>
      <c r="P26" s="33" t="s">
        <v>46</v>
      </c>
      <c r="Q26" s="33" t="s">
        <v>47</v>
      </c>
      <c r="R26" s="33" t="s">
        <v>48</v>
      </c>
      <c r="S26" s="53" t="s">
        <v>49</v>
      </c>
      <c r="T26" s="48"/>
      <c r="U26" s="49"/>
      <c r="V26" s="29"/>
      <c r="W26" s="29"/>
    </row>
    <row r="27" spans="1:47" x14ac:dyDescent="0.2">
      <c r="A27" s="37"/>
      <c r="B27" s="36" t="s">
        <v>28</v>
      </c>
      <c r="C27" s="9">
        <f>AVERAGE(E27:AM27)</f>
        <v>-1</v>
      </c>
      <c r="D27" s="10">
        <f>STDEV(E27:AM27)</f>
        <v>3.2526911934581184</v>
      </c>
      <c r="E27" s="45"/>
      <c r="F27" s="46"/>
      <c r="G27" s="46"/>
      <c r="H27" s="46"/>
      <c r="I27" s="46"/>
      <c r="J27" s="46"/>
      <c r="K27" s="46"/>
      <c r="L27" s="28"/>
      <c r="M27" s="28"/>
      <c r="N27" s="28"/>
      <c r="O27" s="28"/>
      <c r="P27" s="28"/>
      <c r="Q27" s="28"/>
      <c r="R27" s="28">
        <f>AVERAGE(AP12:AR12)</f>
        <v>-3.3</v>
      </c>
      <c r="S27" s="44">
        <f>AVERAGE(AS12:AU12)</f>
        <v>1.2999999999999998</v>
      </c>
      <c r="T27" s="58"/>
      <c r="U27" s="49"/>
      <c r="V27" s="29"/>
      <c r="W27" s="29"/>
    </row>
    <row r="28" spans="1:47" x14ac:dyDescent="0.2">
      <c r="A28" s="37"/>
      <c r="B28" s="36" t="s">
        <v>29</v>
      </c>
      <c r="C28" s="9">
        <f>AVERAGE(E28:AM28)</f>
        <v>-1.4499999999999997</v>
      </c>
      <c r="D28" s="10">
        <f>STDEV(E28:AM28)</f>
        <v>3.3169737434617739</v>
      </c>
      <c r="E28" s="45"/>
      <c r="F28" s="46"/>
      <c r="G28" s="46"/>
      <c r="H28" s="46"/>
      <c r="I28" s="46"/>
      <c r="J28" s="46"/>
      <c r="K28" s="46"/>
      <c r="L28" s="28">
        <f>AVERAGE(X13:Z13)</f>
        <v>-0.3</v>
      </c>
      <c r="M28" s="28">
        <f>AVERAGE(AA13:AC13)</f>
        <v>-0.19999999999999998</v>
      </c>
      <c r="N28" s="28">
        <f>AVERAGE(AD13:AF13)</f>
        <v>-2.2333333333333334</v>
      </c>
      <c r="O28" s="28">
        <f>AVERAGE(AG13:AI13)</f>
        <v>-2.15</v>
      </c>
      <c r="P28" s="28">
        <f>AVERAGE(AJ13:AL13)</f>
        <v>-6</v>
      </c>
      <c r="Q28" s="28"/>
      <c r="R28" s="28">
        <f>AVERAGE(AP13:AR13)</f>
        <v>-3.8</v>
      </c>
      <c r="S28" s="44">
        <f>AVERAGE(AS13:AU13)</f>
        <v>4.5333333333333341</v>
      </c>
      <c r="T28" s="58"/>
      <c r="U28" s="49"/>
      <c r="V28" s="29"/>
      <c r="W28" s="29"/>
    </row>
    <row r="29" spans="1:47" x14ac:dyDescent="0.2">
      <c r="A29" s="14">
        <f>COUNTA(E29:AM29)</f>
        <v>15</v>
      </c>
      <c r="B29" s="8" t="str">
        <f>B23</f>
        <v>SV-SV</v>
      </c>
      <c r="C29" s="9">
        <f>AVERAGE(E29:AM29)</f>
        <v>-2.8500000000000005</v>
      </c>
      <c r="D29" s="10">
        <f>STDEV(E29:AM29)</f>
        <v>3.2533499218936961</v>
      </c>
      <c r="E29" s="27">
        <f>AVERAGE(C14:E14)</f>
        <v>-5.15</v>
      </c>
      <c r="F29" s="28">
        <f>AVERAGE(F14:H14)</f>
        <v>-4</v>
      </c>
      <c r="G29" s="28">
        <f>AVERAGE(I14:K14)</f>
        <v>-4.6500000000000004</v>
      </c>
      <c r="H29" s="28">
        <f>AVERAGE(L14:N14)</f>
        <v>0.5</v>
      </c>
      <c r="I29" s="28">
        <f>AVERAGE(O14:Q14)</f>
        <v>-11.233333333333334</v>
      </c>
      <c r="J29" s="28">
        <f>AVERAGE(R14:T14)</f>
        <v>-3.2</v>
      </c>
      <c r="K29" s="28">
        <f>AVERAGE(U14:W14)</f>
        <v>-2.4333333333333331</v>
      </c>
      <c r="L29" s="28">
        <f>AVERAGE(X14:Z14)</f>
        <v>-2</v>
      </c>
      <c r="M29" s="28">
        <f>AVERAGE(AA14:AC14)</f>
        <v>0.35</v>
      </c>
      <c r="N29" s="28">
        <f>AVERAGE(AD14:AF14)</f>
        <v>1.1666666666666667</v>
      </c>
      <c r="O29" s="28">
        <f>AVERAGE(AG14:AI14)</f>
        <v>-3.5</v>
      </c>
      <c r="P29" s="28">
        <f>AVERAGE(AJ14:AL14)</f>
        <v>-5.5</v>
      </c>
      <c r="Q29" s="28">
        <f>AVERAGE(AM14:AO14)</f>
        <v>0.9</v>
      </c>
      <c r="R29" s="28">
        <f>AVERAGE(AP14:AR14)</f>
        <v>-3.8000000000000003</v>
      </c>
      <c r="S29" s="44">
        <f>AVERAGE(AS14:AU14)</f>
        <v>-0.19999999999999998</v>
      </c>
      <c r="T29" s="55"/>
      <c r="U29" s="51"/>
      <c r="V29" s="29"/>
      <c r="W29" s="29"/>
    </row>
    <row r="30" spans="1:47" x14ac:dyDescent="0.2">
      <c r="A30" s="14">
        <f t="shared" ref="A30:A31" si="3">COUNTA(E30:AM30)</f>
        <v>15</v>
      </c>
      <c r="B30" s="8" t="str">
        <f>B24</f>
        <v>EI12-12</v>
      </c>
      <c r="C30" s="9">
        <f t="shared" ref="C30:C31" si="4">AVERAGE(E30:AM30)</f>
        <v>9.7477777777777792</v>
      </c>
      <c r="D30" s="10">
        <f t="shared" ref="D30:D31" si="5">STDEV(E30:AM30)</f>
        <v>7.595006365574795</v>
      </c>
      <c r="E30" s="27">
        <f>AVERAGE(C15:E15)</f>
        <v>17.566666666666666</v>
      </c>
      <c r="F30" s="28">
        <f>AVERAGE(F15:H15)</f>
        <v>5.7666666666666666</v>
      </c>
      <c r="G30" s="28">
        <f>AVERAGE(I15:K15)</f>
        <v>10.15</v>
      </c>
      <c r="H30" s="28">
        <f>AVERAGE(L15:N15)</f>
        <v>2.2666666666666671</v>
      </c>
      <c r="I30" s="28">
        <f>AVERAGE(O15:Q15)</f>
        <v>1.1499999999999999</v>
      </c>
      <c r="J30" s="28">
        <f>AVERAGE(R15:T15)</f>
        <v>18.099999999999998</v>
      </c>
      <c r="K30" s="28">
        <f>AVERAGE(U15:W15)</f>
        <v>4.3</v>
      </c>
      <c r="L30" s="28">
        <f>AVERAGE(X15:Z15)</f>
        <v>7.15</v>
      </c>
      <c r="M30" s="28">
        <f>AVERAGE(AA15:AC15)</f>
        <v>6.15</v>
      </c>
      <c r="N30" s="28">
        <f>AVERAGE(AD15:AF15)</f>
        <v>13.5</v>
      </c>
      <c r="O30" s="28">
        <f>AVERAGE(AG15:AI15)</f>
        <v>6.95</v>
      </c>
      <c r="P30" s="28">
        <f>AVERAGE(AJ15:AL15)</f>
        <v>7.15</v>
      </c>
      <c r="Q30" s="28">
        <f>AVERAGE(AM15:AO15)</f>
        <v>6.4666666666666659</v>
      </c>
      <c r="R30" s="28">
        <f>AVERAGE(AP15:AR15)</f>
        <v>8.8000000000000007</v>
      </c>
      <c r="S30" s="44">
        <f>AVERAGE(AS15:AU15)</f>
        <v>30.75</v>
      </c>
      <c r="T30" s="55"/>
      <c r="U30" s="51"/>
      <c r="V30" s="29"/>
      <c r="W30" s="29"/>
    </row>
    <row r="31" spans="1:47" ht="16" thickBot="1" x14ac:dyDescent="0.25">
      <c r="A31" s="14">
        <f t="shared" si="3"/>
        <v>15</v>
      </c>
      <c r="B31" s="13" t="str">
        <f>B25</f>
        <v>EI48-12</v>
      </c>
      <c r="C31" s="9">
        <f t="shared" si="4"/>
        <v>1.1733333333333331</v>
      </c>
      <c r="D31" s="10">
        <f t="shared" si="5"/>
        <v>3.4193473804128924</v>
      </c>
      <c r="E31" s="30">
        <f>AVERAGE(C16:E16)</f>
        <v>3</v>
      </c>
      <c r="F31" s="31">
        <f>AVERAGE(F16:H16)</f>
        <v>-2.7666666666666671</v>
      </c>
      <c r="G31" s="31">
        <f>AVERAGE(I16:K16)</f>
        <v>2</v>
      </c>
      <c r="H31" s="31">
        <f>AVERAGE(L16:N16)</f>
        <v>-2.4</v>
      </c>
      <c r="I31" s="31">
        <f>AVERAGE(O16:Q16)</f>
        <v>-4.1333333333333337</v>
      </c>
      <c r="J31" s="31">
        <f>AVERAGE(R16:T16)</f>
        <v>4</v>
      </c>
      <c r="K31" s="31">
        <f>AVERAGE(U16:W16)</f>
        <v>-3</v>
      </c>
      <c r="L31" s="31">
        <f>AVERAGE(X16:Z16)</f>
        <v>4.1500000000000004</v>
      </c>
      <c r="M31" s="31">
        <f>AVERAGE(AA16:AC16)</f>
        <v>6.5666666666666664</v>
      </c>
      <c r="N31" s="31">
        <f>AVERAGE(AD16:AF16)</f>
        <v>2.8</v>
      </c>
      <c r="O31" s="31">
        <f>AVERAGE(AG16:AI16)</f>
        <v>1.65</v>
      </c>
      <c r="P31" s="31">
        <f>AVERAGE(AJ16:AL16)</f>
        <v>-3</v>
      </c>
      <c r="Q31" s="31">
        <f>AVERAGE(AM16:AO16)</f>
        <v>0.65</v>
      </c>
      <c r="R31" s="31">
        <f>AVERAGE(AP16:AR16)</f>
        <v>2.85</v>
      </c>
      <c r="S31" s="56">
        <f>AVERAGE(AS16:AU16)</f>
        <v>5.2333333333333334</v>
      </c>
      <c r="T31" s="57"/>
      <c r="U31" s="42"/>
      <c r="V31" s="29"/>
      <c r="W31" s="29"/>
    </row>
    <row r="32" spans="1:47" x14ac:dyDescent="0.2">
      <c r="A32" s="24" t="s">
        <v>53</v>
      </c>
      <c r="B32" s="21"/>
      <c r="C32" s="25"/>
      <c r="D32" s="34"/>
      <c r="E32" s="32" t="s">
        <v>0</v>
      </c>
      <c r="F32" s="33" t="s">
        <v>1</v>
      </c>
      <c r="G32" s="33" t="s">
        <v>40</v>
      </c>
      <c r="H32" s="33" t="s">
        <v>2</v>
      </c>
      <c r="I32" s="33" t="s">
        <v>41</v>
      </c>
      <c r="J32" s="33" t="s">
        <v>3</v>
      </c>
      <c r="K32" s="33" t="s">
        <v>4</v>
      </c>
      <c r="L32" s="33" t="s">
        <v>42</v>
      </c>
      <c r="M32" s="33" t="s">
        <v>43</v>
      </c>
      <c r="N32" s="33" t="s">
        <v>44</v>
      </c>
      <c r="O32" s="33" t="s">
        <v>45</v>
      </c>
      <c r="P32" s="33" t="s">
        <v>46</v>
      </c>
      <c r="Q32" s="33" t="s">
        <v>47</v>
      </c>
      <c r="R32" s="33" t="s">
        <v>48</v>
      </c>
      <c r="S32" s="53" t="s">
        <v>49</v>
      </c>
      <c r="T32" s="48"/>
      <c r="U32" s="49"/>
      <c r="V32" s="29"/>
      <c r="W32" s="29"/>
    </row>
    <row r="33" spans="1:23" x14ac:dyDescent="0.2">
      <c r="A33" s="37"/>
      <c r="B33" s="36" t="s">
        <v>28</v>
      </c>
      <c r="C33" s="9">
        <f>AVERAGE(E33:AM33)</f>
        <v>7.4333333333333336</v>
      </c>
      <c r="D33" s="10">
        <f>STDEV(E33:AM33)</f>
        <v>0.75424723326565124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>
        <f t="shared" ref="R33:S37" si="6">R21-R27</f>
        <v>7.9666666666666668</v>
      </c>
      <c r="S33" s="44">
        <f t="shared" si="6"/>
        <v>6.8999999999999995</v>
      </c>
      <c r="T33" s="58"/>
      <c r="U33" s="49"/>
      <c r="V33" s="29"/>
      <c r="W33" s="29"/>
    </row>
    <row r="34" spans="1:23" x14ac:dyDescent="0.2">
      <c r="A34" s="37"/>
      <c r="B34" s="36" t="s">
        <v>29</v>
      </c>
      <c r="C34" s="9">
        <f>AVERAGE(E34:AM34)</f>
        <v>5.6428571428571432</v>
      </c>
      <c r="D34" s="10">
        <f>STDEV(E34:AM34)</f>
        <v>2.1207278874213848</v>
      </c>
      <c r="E34" s="27"/>
      <c r="F34" s="28"/>
      <c r="G34" s="28"/>
      <c r="H34" s="28"/>
      <c r="I34" s="28"/>
      <c r="J34" s="28"/>
      <c r="K34" s="28"/>
      <c r="L34" s="28">
        <f t="shared" ref="L34:P37" si="7">L22-L28</f>
        <v>3.4499999999999997</v>
      </c>
      <c r="M34" s="28">
        <f t="shared" si="7"/>
        <v>4.8500000000000005</v>
      </c>
      <c r="N34" s="28">
        <f t="shared" si="7"/>
        <v>7.0333333333333332</v>
      </c>
      <c r="O34" s="28">
        <f t="shared" si="7"/>
        <v>4.6166666666666671</v>
      </c>
      <c r="P34" s="28">
        <f t="shared" si="7"/>
        <v>9.5</v>
      </c>
      <c r="Q34" s="28"/>
      <c r="R34" s="28">
        <f t="shared" si="6"/>
        <v>6.2333333333333325</v>
      </c>
      <c r="S34" s="44">
        <f t="shared" si="6"/>
        <v>3.8166666666666655</v>
      </c>
      <c r="T34" s="58"/>
      <c r="U34" s="49"/>
      <c r="V34" s="29"/>
      <c r="W34" s="29"/>
    </row>
    <row r="35" spans="1:23" x14ac:dyDescent="0.2">
      <c r="A35" s="14">
        <f>COUNTA(E35:AM35)</f>
        <v>15</v>
      </c>
      <c r="B35" s="8" t="str">
        <f t="shared" ref="B35:B36" si="8">B29</f>
        <v>SV-SV</v>
      </c>
      <c r="C35" s="9">
        <f>AVERAGE(E35:AM35)</f>
        <v>6.35</v>
      </c>
      <c r="D35" s="10">
        <f>STDEV(E35:AM35)</f>
        <v>2.7826417732247242</v>
      </c>
      <c r="E35" s="27">
        <f t="shared" ref="E35:K37" si="9">E23-E29</f>
        <v>8.15</v>
      </c>
      <c r="F35" s="28">
        <f t="shared" si="9"/>
        <v>4.5</v>
      </c>
      <c r="G35" s="28">
        <f t="shared" si="9"/>
        <v>9.3000000000000007</v>
      </c>
      <c r="H35" s="28">
        <f t="shared" si="9"/>
        <v>5.9499999999999993</v>
      </c>
      <c r="I35" s="28">
        <f t="shared" si="9"/>
        <v>12.083333333333334</v>
      </c>
      <c r="J35" s="28">
        <f t="shared" si="9"/>
        <v>10.4</v>
      </c>
      <c r="K35" s="28">
        <f t="shared" si="9"/>
        <v>6.4333333333333336</v>
      </c>
      <c r="L35" s="28">
        <f t="shared" si="7"/>
        <v>5.15</v>
      </c>
      <c r="M35" s="28">
        <f t="shared" si="7"/>
        <v>2.85</v>
      </c>
      <c r="N35" s="28">
        <f t="shared" si="7"/>
        <v>1.9833333333333332</v>
      </c>
      <c r="O35" s="28">
        <f t="shared" si="7"/>
        <v>7</v>
      </c>
      <c r="P35" s="28">
        <f t="shared" si="7"/>
        <v>5.65</v>
      </c>
      <c r="Q35" s="28">
        <f>Q23-Q29</f>
        <v>3.3000000000000003</v>
      </c>
      <c r="R35" s="28">
        <f t="shared" si="6"/>
        <v>6.8000000000000007</v>
      </c>
      <c r="S35" s="44">
        <f t="shared" si="6"/>
        <v>5.7</v>
      </c>
      <c r="T35" s="50"/>
      <c r="U35" s="44"/>
      <c r="V35" s="29"/>
      <c r="W35" s="29"/>
    </row>
    <row r="36" spans="1:23" x14ac:dyDescent="0.2">
      <c r="A36" s="14">
        <f t="shared" ref="A36:A37" si="10">COUNTA(E36:AM36)</f>
        <v>15</v>
      </c>
      <c r="B36" s="8" t="str">
        <f t="shared" si="8"/>
        <v>EI12-12</v>
      </c>
      <c r="C36" s="9">
        <f t="shared" ref="C36:C37" si="11">AVERAGE(E36:AM36)</f>
        <v>7.0900000000000007</v>
      </c>
      <c r="D36" s="10">
        <f t="shared" ref="D36:D37" si="12">STDEV(E36:AM36)</f>
        <v>4.2767217826682637</v>
      </c>
      <c r="E36" s="27">
        <f t="shared" si="9"/>
        <v>1.06666666666667</v>
      </c>
      <c r="F36" s="28">
        <f t="shared" si="9"/>
        <v>8.4666666666666686</v>
      </c>
      <c r="G36" s="28">
        <f t="shared" si="9"/>
        <v>7.0833333333333339</v>
      </c>
      <c r="H36" s="28">
        <f t="shared" si="9"/>
        <v>9.7333333333333325</v>
      </c>
      <c r="I36" s="28">
        <f t="shared" si="9"/>
        <v>8.4166666666666661</v>
      </c>
      <c r="J36" s="28">
        <f t="shared" si="9"/>
        <v>0.90000000000000213</v>
      </c>
      <c r="K36" s="28">
        <f t="shared" si="9"/>
        <v>10.7</v>
      </c>
      <c r="L36" s="28">
        <f t="shared" si="7"/>
        <v>5.65</v>
      </c>
      <c r="M36" s="28">
        <f t="shared" si="7"/>
        <v>2.8833333333333329</v>
      </c>
      <c r="N36" s="28">
        <f t="shared" si="7"/>
        <v>3.8500000000000014</v>
      </c>
      <c r="O36" s="28">
        <f t="shared" si="7"/>
        <v>12.900000000000002</v>
      </c>
      <c r="P36" s="28">
        <f t="shared" si="7"/>
        <v>7.7166666666666668</v>
      </c>
      <c r="Q36" s="28">
        <f>Q24-Q30</f>
        <v>11.033333333333335</v>
      </c>
      <c r="R36" s="28">
        <f t="shared" si="6"/>
        <v>14.150000000000002</v>
      </c>
      <c r="S36" s="44">
        <f t="shared" si="6"/>
        <v>1.7999999999999972</v>
      </c>
      <c r="T36" s="50"/>
      <c r="U36" s="42"/>
      <c r="V36" s="29"/>
      <c r="W36" s="29"/>
    </row>
    <row r="37" spans="1:23" ht="16" thickBot="1" x14ac:dyDescent="0.25">
      <c r="A37" s="15">
        <f t="shared" si="10"/>
        <v>15</v>
      </c>
      <c r="B37" s="13" t="str">
        <f>B31</f>
        <v>EI48-12</v>
      </c>
      <c r="C37" s="11">
        <f t="shared" si="11"/>
        <v>3.7288888888888891</v>
      </c>
      <c r="D37" s="12">
        <f t="shared" si="12"/>
        <v>3.4311393051313046</v>
      </c>
      <c r="E37" s="30">
        <f t="shared" si="9"/>
        <v>0.14999999999999991</v>
      </c>
      <c r="F37" s="31">
        <f t="shared" si="9"/>
        <v>3.166666666666667</v>
      </c>
      <c r="G37" s="31">
        <f t="shared" si="9"/>
        <v>3</v>
      </c>
      <c r="H37" s="31">
        <f t="shared" si="9"/>
        <v>7.6333333333333329</v>
      </c>
      <c r="I37" s="31">
        <f t="shared" si="9"/>
        <v>9.3333333333333339</v>
      </c>
      <c r="J37" s="31">
        <f t="shared" si="9"/>
        <v>1.7999999999999998</v>
      </c>
      <c r="K37" s="31">
        <f t="shared" si="9"/>
        <v>7.8</v>
      </c>
      <c r="L37" s="31">
        <f t="shared" si="7"/>
        <v>0.34999999999999964</v>
      </c>
      <c r="M37" s="31">
        <f t="shared" si="7"/>
        <v>-2.6666666666666665</v>
      </c>
      <c r="N37" s="31">
        <f t="shared" si="7"/>
        <v>8.0500000000000007</v>
      </c>
      <c r="O37" s="31">
        <f t="shared" si="7"/>
        <v>1.85</v>
      </c>
      <c r="P37" s="31">
        <f t="shared" si="7"/>
        <v>4</v>
      </c>
      <c r="Q37" s="31">
        <f>Q25-Q31</f>
        <v>6.35</v>
      </c>
      <c r="R37" s="31">
        <f t="shared" si="6"/>
        <v>2.4999999999999996</v>
      </c>
      <c r="S37" s="56">
        <f t="shared" si="6"/>
        <v>2.6166666666666663</v>
      </c>
      <c r="T37" s="52"/>
      <c r="U37" s="42"/>
      <c r="V37" s="29"/>
      <c r="W37" s="29"/>
    </row>
    <row r="38" spans="1:23" x14ac:dyDescent="0.2">
      <c r="T38" s="29"/>
      <c r="U38" s="28"/>
      <c r="V38" s="29"/>
      <c r="W38" s="29"/>
    </row>
    <row r="39" spans="1:23" x14ac:dyDescent="0.2">
      <c r="A39" t="s">
        <v>54</v>
      </c>
      <c r="B39" t="s">
        <v>55</v>
      </c>
      <c r="C39" t="s">
        <v>56</v>
      </c>
      <c r="T39" s="29"/>
      <c r="U39" s="29"/>
      <c r="V39" s="29"/>
      <c r="W39" s="29"/>
    </row>
    <row r="40" spans="1:23" x14ac:dyDescent="0.2">
      <c r="A40" s="17">
        <f>TTEST(E29:U29,E30:U30,2,1)</f>
        <v>1.4300121989827504E-5</v>
      </c>
      <c r="B40" s="17">
        <f>TTEST(E23:U23,E24:U24,2,1)</f>
        <v>1.6372914899813857E-7</v>
      </c>
      <c r="C40" s="19">
        <f>TTEST(E35:W35,E36:W36,2,1)</f>
        <v>0.58633074552037012</v>
      </c>
      <c r="T40" s="29"/>
      <c r="U40" s="29"/>
      <c r="V40" s="29"/>
      <c r="W40" s="29"/>
    </row>
    <row r="41" spans="1:23" x14ac:dyDescent="0.2">
      <c r="A41" s="17">
        <f>TTEST(E30:U30,E31:U31,2,1)</f>
        <v>9.0253105217556921E-5</v>
      </c>
      <c r="B41" s="17">
        <f>TTEST(E24:U24,E25:U25,2,1)</f>
        <v>6.7300905591599115E-7</v>
      </c>
      <c r="C41" s="19">
        <f>TTEST(E36:W36,E37:W37,2,1)</f>
        <v>9.3150284050127138E-3</v>
      </c>
      <c r="T41" s="29"/>
      <c r="U41" s="29"/>
      <c r="V41" s="29"/>
      <c r="W41" s="29"/>
    </row>
    <row r="42" spans="1:23" x14ac:dyDescent="0.2">
      <c r="A42" s="17">
        <f>TTEST(E29:U29,E31:U31,2,1)</f>
        <v>4.7634729738688585E-4</v>
      </c>
      <c r="B42" s="19">
        <f>TTEST(E23:U23,E25:U25,2,1)</f>
        <v>3.4071429903294419E-2</v>
      </c>
      <c r="C42" s="18">
        <f>TTEST(E35:X35,E37:X37,2,1)</f>
        <v>2.9458077005885833E-2</v>
      </c>
      <c r="T42" s="29"/>
      <c r="U42" s="29"/>
      <c r="V42" s="29"/>
      <c r="W42" s="29"/>
    </row>
    <row r="43" spans="1:23" x14ac:dyDescent="0.2">
      <c r="T43" s="29"/>
      <c r="U43" s="29"/>
      <c r="V43" s="29"/>
      <c r="W43" s="29"/>
    </row>
    <row r="45" spans="1:23" x14ac:dyDescent="0.2">
      <c r="C45" s="6"/>
    </row>
    <row r="46" spans="1:23" x14ac:dyDescent="0.2">
      <c r="C46" s="6"/>
    </row>
    <row r="47" spans="1:23" x14ac:dyDescent="0.2">
      <c r="C4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Manager/>
  <Company>UCLA Health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UCLA Health Sciences</dc:creator>
  <cp:keywords/>
  <dc:description/>
  <cp:lastModifiedBy>Microsoft Office User</cp:lastModifiedBy>
  <cp:revision/>
  <dcterms:created xsi:type="dcterms:W3CDTF">2019-01-31T23:32:14Z</dcterms:created>
  <dcterms:modified xsi:type="dcterms:W3CDTF">2022-07-12T18:57:35Z</dcterms:modified>
  <cp:category/>
  <cp:contentStatus/>
</cp:coreProperties>
</file>